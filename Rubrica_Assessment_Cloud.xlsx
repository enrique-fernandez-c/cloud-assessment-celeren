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úbric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<sst xmlns="http://schemas.openxmlformats.org/spreadsheetml/2006/main" count="115" uniqueCount="115">
  <si>
    <t xml:space="preserve">Rúbrica de Madurez Cloud — Microsoft Azure</t>
  </si>
  <si>
    <t xml:space="preserve">Herramienta de diagnóstico (entrada comercial) basada en el Microsoft Cloud Adoption Framework (CAF)</t>
  </si>
  <si>
    <t xml:space="preserve">Para qué sirve</t>
  </si>
  <si>
    <t xml:space="preserve">Objetivo</t>
  </si>
  <si>
    <t xml:space="preserve">Diagnosticar el estadío de madurez cloud de una cuenta en 8 dimensiones, abrir la conversación con el cliente y aterrizar un roadmap con próximos pasos. No es un fin en sí mismo: el entregable que cierra es el roadmap + el caso de negocio, no el puntaje.</t>
  </si>
  <si>
    <t xml:space="preserve">Enfoque</t>
  </si>
  <si>
    <t xml:space="preserve">Diseñada como herramienta comercial ligera: puntuable a partir de un cuestionario + un workshop corto (y datos de Azure si están disponibles). Manténlo ágil para no enfriar la oportunidad.</t>
  </si>
  <si>
    <t xml:space="preserve">Escala de madurez (1 a 5)</t>
  </si>
  <si>
    <t xml:space="preserve">Nivel</t>
  </si>
  <si>
    <t xml:space="preserve">Significado</t>
  </si>
  <si>
    <t xml:space="preserve">1 — Inicial / Ad hoc</t>
  </si>
  <si>
    <t xml:space="preserve">Reactivo, manual, sin procesos definidos.</t>
  </si>
  <si>
    <t xml:space="preserve">2 — Emergente</t>
  </si>
  <si>
    <t xml:space="preserve">Esfuerzos informales e inconsistentes entre equipos.</t>
  </si>
  <si>
    <t xml:space="preserve">3 — Definido</t>
  </si>
  <si>
    <t xml:space="preserve">Procesos documentados y estandarizados.</t>
  </si>
  <si>
    <t xml:space="preserve">4 — Gestionado</t>
  </si>
  <si>
    <t xml:space="preserve">Medido, automatizado y gobernado.</t>
  </si>
  <si>
    <t xml:space="preserve">5 — Optimizado</t>
  </si>
  <si>
    <t xml:space="preserve">Mejora continua, autoservicio, cloud-native.</t>
  </si>
  <si>
    <t xml:space="preserve">Cómo usarla</t>
  </si>
  <si>
    <t xml:space="preserve">1. Recolecta evidencia por dimensión (cuestionario, workshop, datos de Azure si hay).</t>
  </si>
  <si>
    <t xml:space="preserve">2. En la pestaña 'Rúbrica', lee los 5 niveles de cada dimensión y elige el puntaje (1-5) que mejor describe el estado ACTUAL. Escríbelo en la columna 'Puntaje'.</t>
  </si>
  <si>
    <t xml:space="preserve">3. Anota la evidencia/justificación en la columna 'Evidencia / notas'.</t>
  </si>
  <si>
    <t xml:space="preserve">4. El 'Puntaje ponderado', el nivel global y el % total se calculan automáticamente.</t>
  </si>
  <si>
    <t xml:space="preserve">5. Usa la columna 'Señal de oportunidad / próximo paso' para construir el roadmap y la propuesta: cada nivel bajo = una oportunidad concreta.</t>
  </si>
  <si>
    <t xml:space="preserve">Notas importantes</t>
  </si>
  <si>
    <t xml:space="preserve">Pesos</t>
  </si>
  <si>
    <t xml:space="preserve">Los pesos vienen con defaults sugeridos (suman 100%). Ajústalos por industria: p. ej. en banca/salud/sector público sube Seguridad y Gobierno; en retail puede pesar más Modernización y FinOps.</t>
  </si>
  <si>
    <t xml:space="preserve">Fondos Microsoft</t>
  </si>
  <si>
    <t xml:space="preserve">Puedes posicionar el assessment y la migración con fondos: ECIF, Azure Migrate y el Azure Migration and Modernization Program (AMMP). Permite ofrecer el diagnóstico subsidiado y mejora el cierre. Verifica elegibilidad con tu PDM/partner de Microsoft.</t>
  </si>
  <si>
    <t xml:space="preserve">Dimensión opcional</t>
  </si>
  <si>
    <t xml:space="preserve">Datos &amp; IA (Microsoft Fabric, Azure AI, Copilot) es una 9ª dimensión recomendada cuando la oportunidad del cliente va por ahí. Está alta en la agenda de Microsoft y suele abrir conversación.</t>
  </si>
  <si>
    <t xml:space="preserve">Próximo paso</t>
  </si>
  <si>
    <t xml:space="preserve">El siguiente activo de la metodología es el Scorecard: heatmap + gráfico radar + resumen ejecutivo que visualiza estos puntajes para el readout con el cliente.</t>
  </si>
  <si>
    <t xml:space="preserve">Rúbrica de Madurez Cloud — Microsoft Azure (CAF)  |  Cuenta: ____________________   Fecha: ___________</t>
  </si>
  <si>
    <t xml:space="preserve">Categoría (CAF)</t>
  </si>
  <si>
    <t xml:space="preserve">Dimensión</t>
  </si>
  <si>
    <t xml:space="preserve">Peso</t>
  </si>
  <si>
    <t xml:space="preserve">Nivel 1 — Inicial</t>
  </si>
  <si>
    <t xml:space="preserve">Nivel 2 — Emergente</t>
  </si>
  <si>
    <t xml:space="preserve">Nivel 3 — Definido</t>
  </si>
  <si>
    <t xml:space="preserve">Nivel 4 — Gestionado</t>
  </si>
  <si>
    <t xml:space="preserve">Nivel 5 — Optimizado</t>
  </si>
  <si>
    <t xml:space="preserve">Puntaje (1-5)</t>
  </si>
  <si>
    <t xml:space="preserve">Puntaje ponderado</t>
  </si>
  <si>
    <t xml:space="preserve">Señal de oportunidad / próximo paso</t>
  </si>
  <si>
    <t xml:space="preserve">Evidencia / notas</t>
  </si>
  <si>
    <t xml:space="preserve">Estrategia y plan</t>
  </si>
  <si>
    <t xml:space="preserve">Estrategia y alineación al negocio</t>
  </si>
  <si>
    <t xml:space="preserve">No hay estrategia cloud; adopción reactiva y por proyectos aislados, sin business case.</t>
  </si>
  <si>
    <t xml:space="preserve">Motivaciones identificadas de forma informal; cloud visto como proyecto de TI, sin métricas de negocio.</t>
  </si>
  <si>
    <t xml:space="preserve">Estrategia documentada y alineada a objetivos de negocio, con business case y KPIs definidos.</t>
  </si>
  <si>
    <t xml:space="preserve">Estrategia gestionada con métricas de valor (TCO, time-to-market) revisadas y patrocinio ejecutivo activo.</t>
  </si>
  <si>
    <t xml:space="preserve">Cloud como motor de innovación del negocio; decisiones guiadas por datos de valor y revisión continua del portafolio.</t>
  </si>
  <si>
    <t xml:space="preserve">Workshop de estrategia y business case (CAF Strategy / Envisioning). Es la base que ordena todo el roadmap.</t>
  </si>
  <si>
    <t xml:space="preserve">Gobierno</t>
  </si>
  <si>
    <t xml:space="preserve">Gobierno y cumplimiento</t>
  </si>
  <si>
    <t xml:space="preserve">Sin políticas ni controles; configuración manual y shadow IT.</t>
  </si>
  <si>
    <t xml:space="preserve">Algunas políticas básicas y reactivas; gobierno inconsistente entre equipos.</t>
  </si>
  <si>
    <t xml:space="preserve">Marco de gobierno definido con Azure Policy y landing zone, gestión de costos y cumplimiento documentado.</t>
  </si>
  <si>
    <t xml:space="preserve">Gobierno automatizado y auditado (políticas como código, management groups, blueprints) con cumplimiento monitoreado.</t>
  </si>
  <si>
    <t xml:space="preserve">Gobierno de autoservicio con guardrails que habilitan velocidad sin perder control; mejora continua basada en datos.</t>
  </si>
  <si>
    <t xml:space="preserve">Diseño/implementación de landing zone y gobierno (Azure Policy, management groups). Habilita escalar con control.</t>
  </si>
  <si>
    <t xml:space="preserve">Seguridad</t>
  </si>
  <si>
    <t xml:space="preserve">Seguridad e identidad</t>
  </si>
  <si>
    <t xml:space="preserve">Seguridad reactiva; identidades fragmentadas, sin MFA, perímetro tradicional.</t>
  </si>
  <si>
    <t xml:space="preserve">Controles básicos (MFA parcial, Entra ID en uso) pero sin estrategia integral ni postura medida.</t>
  </si>
  <si>
    <t xml:space="preserve">Postura definida: Entra ID centralizado, Defender for Cloud, segmentación de red y gestión de secretos.</t>
  </si>
  <si>
    <t xml:space="preserve">Zero Trust en marcha, DevSecOps, detección y respuesta automatizadas; postura medida (Secure Score).</t>
  </si>
  <si>
    <t xml:space="preserve">Seguridad como código integrada de extremo a extremo; threat hunting proactivo y mejora continua.</t>
  </si>
  <si>
    <t xml:space="preserve">Assessment de seguridad / Zero Trust y despliegue de Defender for Cloud + Entra ID. Alto peso en sectores regulados.</t>
  </si>
  <si>
    <t xml:space="preserve">Preparación (Ready)</t>
  </si>
  <si>
    <t xml:space="preserve">Plataforma, arquitectura y landing zone</t>
  </si>
  <si>
    <t xml:space="preserve">Recursos creados a mano, sin diseño de red ni estándares; entornos inconsistentes.</t>
  </si>
  <si>
    <t xml:space="preserve">Algunos estándares y plantillas, pero sin landing zone formal ni IaC consistente.</t>
  </si>
  <si>
    <t xml:space="preserve">Landing zone implementada, red e híbrido diseñados, IaC (Bicep/Terraform) para nuevos despliegues.</t>
  </si>
  <si>
    <t xml:space="preserve">Plataforma gestionada y versionada; IaC en toda la organización, entornos reproducibles y escalables.</t>
  </si>
  <si>
    <t xml:space="preserve">Plataforma de autoservicio para equipos de producto; arquitectura optimizada y evolucionada de forma continua.</t>
  </si>
  <si>
    <t xml:space="preserve">Implementación de landing zone empresarial e Infraestructura como Código (Bicep/Terraform).</t>
  </si>
  <si>
    <t xml:space="preserve">Adopción (Migrar/Innovar)</t>
  </si>
  <si>
    <t xml:space="preserve">Migración y modernización de aplicaciones</t>
  </si>
  <si>
    <t xml:space="preserve">Cargas on-premise; sin inventario de aplicaciones ni plan de migración.</t>
  </si>
  <si>
    <t xml:space="preserve">Inventario inicial y algunos lift-and-shift (rehost) puntuales, sin estrategia de las 6 R's.</t>
  </si>
  <si>
    <t xml:space="preserve">Estrategia de migración por aplicación (6 R's), olas planificadas y uso creciente de PaaS.</t>
  </si>
  <si>
    <t xml:space="preserve">Modernización activa (contenedores/AKS, PaaS, serverless) gestionada por portafolio y métricas.</t>
  </si>
  <si>
    <t xml:space="preserve">Cultura cloud-native: microservicios, entrega continua y modernización como práctica permanente.</t>
  </si>
  <si>
    <t xml:space="preserve">Programa de migración (Azure Migrate) y modernización a PaaS/AKS. Financiable con AMMP. Suele ser el motor del deal.</t>
  </si>
  <si>
    <t xml:space="preserve">Gestión (Manage)</t>
  </si>
  <si>
    <t xml:space="preserve">Operaciones y fiabilidad</t>
  </si>
  <si>
    <t xml:space="preserve">Operación reactiva, sin monitoreo centralizado; incidentes resueltos a mano.</t>
  </si>
  <si>
    <t xml:space="preserve">Monitoreo básico (Azure Monitor parcial), alertas dispersas y automatización mínima.</t>
  </si>
  <si>
    <t xml:space="preserve">Observabilidad definida, runbooks, gestión de incidentes y respaldos/DR documentados.</t>
  </si>
  <si>
    <t xml:space="preserve">Operación gestionada con SRE, automatización (auto-remediación), SLAs y resiliencia probada.</t>
  </si>
  <si>
    <t xml:space="preserve">Operaciones autooptimizadas; fiabilidad guiada por SLOs y mejora continua basada en datos.</t>
  </si>
  <si>
    <t xml:space="preserve">Implementación de observabilidad (Azure Monitor) y prácticas SRE / managed services.</t>
  </si>
  <si>
    <t xml:space="preserve">Costo / FinOps</t>
  </si>
  <si>
    <t xml:space="preserve">Gestión financiera (FinOps)</t>
  </si>
  <si>
    <t xml:space="preserve">Sin visibilidad de costos cloud; facturas sorpresa y sin responsables.</t>
  </si>
  <si>
    <t xml:space="preserve">Visibilidad básica del gasto, pero sin asignación (tags) ni optimización sistemática (Crawl).</t>
  </si>
  <si>
    <t xml:space="preserve">Costos asignados por área (tags/showback), presupuestos y optimización recurrente con Cost Management (Walk).</t>
  </si>
  <si>
    <t xml:space="preserve">FinOps gestionado: chargeback, reservas/savings plans, forecasting y costo unitario por negocio (Run).</t>
  </si>
  <si>
    <t xml:space="preserve">Cultura FinOps madura; decisiones de ingeniería guiadas por costo-valor y optimización continua.</t>
  </si>
  <si>
    <t xml:space="preserve">Engagement de optimización de costos (Cost Management, reservas). Quick win de alto impacto y bajo esfuerzo.</t>
  </si>
  <si>
    <t xml:space="preserve">Alineación organizacional</t>
  </si>
  <si>
    <t xml:space="preserve">Personas, skills y organización (CCoE)</t>
  </si>
  <si>
    <t xml:space="preserve">Sin roles cloud definidos; conocimiento en pocas personas y resistencia al cambio.</t>
  </si>
  <si>
    <t xml:space="preserve">Equipos aprendiendo de forma informal; sin CCoE ni plan de capacitación.</t>
  </si>
  <si>
    <t xml:space="preserve">CCoE en formación, roles y responsabilidades definidos, plan de capacitación/certificación en marcha.</t>
  </si>
  <si>
    <t xml:space="preserve">CCoE consolidado que habilita a los equipos; cultura de mejora y certificaciones gestionadas.</t>
  </si>
  <si>
    <t xml:space="preserve">Organización cloud-first; capacidades distribuidas, comunidades de práctica y aprendizaje continuo.</t>
  </si>
  <si>
    <t xml:space="preserve">Plan de enablement / CCoE y rutas de certificación (AZ-900, AZ-104, etc.).</t>
  </si>
  <si>
    <t xml:space="preserve">TOTAL / NIVEL GLOBAL</t>
  </si>
  <si>
    <t xml:space="preserve">Global →</t>
  </si>
  <si>
    <t xml:space="preserve">Cómo puntuar: por cada fila, elige el nivel (1-5) que mejor describa el estado actual y escríbelo en 'Puntaje'. El nivel global es el promedio ponderado por los pesos de la columna C. Ajusta los pesos (azul) según la industria del cliente.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</si>
</sst>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DDEBF7"/>
        <bgColor rgb="FFF2F8FD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8FD"/>
      </patternFill>
    </fill>
    <fill>
      <patternFill patternType="solid">
        <fgColor rgb="FFFFF6D5"/>
        <bgColor rgb="FFF2F8FD"/>
      </patternFill>
    </fill>
    <fill>
      <patternFill patternType="solid">
        <fgColor rgb="FFF2F8F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5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D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4"/>
    </row>
    <row r="6" customFormat="false" ht="60" hidden="false" customHeight="true" outlineLevel="0" collapsed="false">
      <c r="B6" s="5" t="s">
        <v>3</v>
      </c>
      <c r="C6" s="6" t="s">
        <v>4</v>
      </c>
    </row>
    <row r="7" customFormat="false" ht="45" hidden="false" customHeight="true" outlineLevel="0" collapsed="false">
      <c r="B7" s="5" t="s">
        <v>5</v>
      </c>
      <c r="C7" s="6" t="s">
        <v>6</v>
      </c>
    </row>
    <row r="9" customFormat="false" ht="15" hidden="false" customHeight="false" outlineLevel="0" collapsed="false">
      <c r="B9" s="3" t="s">
        <v>7</v>
      </c>
      <c r="C9" s="4"/>
    </row>
    <row r="10" customFormat="false" ht="15" hidden="false" customHeight="false" outlineLevel="0" collapsed="false">
      <c r="B10" s="7" t="s">
        <v>8</v>
      </c>
      <c r="C10" s="8" t="s">
        <v>9</v>
      </c>
    </row>
    <row r="11" customFormat="false" ht="15" hidden="false" customHeight="false" outlineLevel="0" collapsed="false">
      <c r="B11" s="9" t="s">
        <v>10</v>
      </c>
      <c r="C11" s="10" t="s">
        <v>11</v>
      </c>
    </row>
    <row r="12" customFormat="false" ht="15" hidden="false" customHeight="false" outlineLevel="0" collapsed="false">
      <c r="B12" s="9" t="s">
        <v>12</v>
      </c>
      <c r="C12" s="10" t="s">
        <v>13</v>
      </c>
    </row>
    <row r="13" customFormat="false" ht="15" hidden="false" customHeight="false" outlineLevel="0" collapsed="false">
      <c r="B13" s="9" t="s">
        <v>14</v>
      </c>
      <c r="C13" s="10" t="s">
        <v>15</v>
      </c>
    </row>
    <row r="14" customFormat="false" ht="15" hidden="false" customHeight="false" outlineLevel="0" collapsed="false">
      <c r="B14" s="9" t="s">
        <v>16</v>
      </c>
      <c r="C14" s="10" t="s">
        <v>17</v>
      </c>
    </row>
    <row r="15" customFormat="false" ht="15" hidden="false" customHeight="false" outlineLevel="0" collapsed="false">
      <c r="B15" s="9" t="s">
        <v>18</v>
      </c>
      <c r="C15" s="10" t="s">
        <v>19</v>
      </c>
    </row>
    <row r="17" customFormat="false" ht="15" hidden="false" customHeight="false" outlineLevel="0" collapsed="false">
      <c r="B17" s="3" t="s">
        <v>20</v>
      </c>
      <c r="C17" s="4"/>
    </row>
    <row r="18" customFormat="false" ht="15" hidden="false" customHeight="true" outlineLevel="0" collapsed="false">
      <c r="B18" s="11" t="s">
        <v>21</v>
      </c>
      <c r="C18" s="11"/>
    </row>
    <row r="19" customFormat="false" ht="30" hidden="false" customHeight="true" outlineLevel="0" collapsed="false">
      <c r="B19" s="11" t="s">
        <v>22</v>
      </c>
      <c r="C19" s="11"/>
    </row>
    <row r="20" customFormat="false" ht="15" hidden="false" customHeight="true" outlineLevel="0" collapsed="false">
      <c r="B20" s="11" t="s">
        <v>23</v>
      </c>
      <c r="C20" s="11"/>
    </row>
    <row r="21" customFormat="false" ht="15" hidden="false" customHeight="true" outlineLevel="0" collapsed="false">
      <c r="B21" s="11" t="s">
        <v>24</v>
      </c>
      <c r="C21" s="11"/>
    </row>
    <row r="22" customFormat="false" ht="30" hidden="false" customHeight="true" outlineLevel="0" collapsed="false">
      <c r="B22" s="11" t="s">
        <v>25</v>
      </c>
      <c r="C22" s="11"/>
    </row>
    <row r="24" customFormat="false" ht="15" hidden="false" customHeight="false" outlineLevel="0" collapsed="false">
      <c r="B24" s="3" t="s">
        <v>26</v>
      </c>
      <c r="C24" s="4"/>
    </row>
    <row r="25" customFormat="false" ht="45" hidden="false" customHeight="true" outlineLevel="0" collapsed="false">
      <c r="B25" s="5" t="s">
        <v>27</v>
      </c>
      <c r="C25" s="6" t="s">
        <v>28</v>
      </c>
    </row>
    <row r="26" customFormat="false" ht="60" hidden="false" customHeight="true" outlineLevel="0" collapsed="false">
      <c r="B26" s="5" t="s">
        <v>29</v>
      </c>
      <c r="C26" s="6" t="s">
        <v>30</v>
      </c>
    </row>
    <row r="27" customFormat="false" ht="45" hidden="false" customHeight="true" outlineLevel="0" collapsed="false">
      <c r="B27" s="5" t="s">
        <v>31</v>
      </c>
      <c r="C27" s="6" t="s">
        <v>32</v>
      </c>
    </row>
    <row r="28" customFormat="false" ht="30" hidden="false" customHeight="true" outlineLevel="0" collapsed="false">
      <c r="B28" s="5" t="s">
        <v>33</v>
      </c>
      <c r="C28" s="6" t="s">
        <v>34</v>
      </c>
    </row>
  </sheetData>
  <mergeCells count="7">
    <mergeCell ref="B2:C2"/>
    <mergeCell ref="B3:C3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7"/>
    <col collapsed="false" customWidth="true" hidden="false" outlineLevel="0" max="3" min="3" style="0" width="9"/>
    <col collapsed="false" customWidth="true" hidden="false" outlineLevel="0" max="8" min="4" style="0" width="3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46"/>
    <col collapsed="false" customWidth="true" hidden="false" outlineLevel="0" max="12" min="12" style="0" width="30"/>
  </cols>
  <sheetData>
    <row r="1" customFormat="false" ht="25.5" hidden="false" customHeight="true" outlineLevel="0" collapsed="false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31.5" hidden="false" customHeight="true" outlineLevel="0" collapsed="false">
      <c r="A2" s="13" t="s">
        <v>36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13" t="s">
        <v>44</v>
      </c>
      <c r="J2" s="13" t="s">
        <v>45</v>
      </c>
      <c r="K2" s="13" t="s">
        <v>46</v>
      </c>
      <c r="L2" s="13" t="s">
        <v>47</v>
      </c>
    </row>
    <row r="3" customFormat="false" ht="111.75" hidden="false" customHeight="true" outlineLevel="0" collapsed="false">
      <c r="A3" s="14" t="s">
        <v>48</v>
      </c>
      <c r="B3" s="15" t="s">
        <v>49</v>
      </c>
      <c r="C3" s="16" t="n">
        <v>0.12</v>
      </c>
      <c r="D3" s="17" t="s">
        <v>50</v>
      </c>
      <c r="E3" s="17" t="s">
        <v>51</v>
      </c>
      <c r="F3" s="17" t="s">
        <v>52</v>
      </c>
      <c r="G3" s="17" t="s">
        <v>53</v>
      </c>
      <c r="H3" s="17" t="s">
        <v>54</v>
      </c>
      <c r="I3" s="18"/>
      <c r="J3" s="19" t="str">
        <f aca="false">IF($I3="","",$C3*$I3)</f>
        <v/>
      </c>
      <c r="K3" s="17" t="s">
        <v>55</v>
      </c>
      <c r="L3" s="20"/>
    </row>
    <row r="4" customFormat="false" ht="111.75" hidden="false" customHeight="true" outlineLevel="0" collapsed="false">
      <c r="A4" s="21" t="s">
        <v>56</v>
      </c>
      <c r="B4" s="22" t="s">
        <v>57</v>
      </c>
      <c r="C4" s="16" t="n">
        <v>0.12</v>
      </c>
      <c r="D4" s="23" t="s">
        <v>58</v>
      </c>
      <c r="E4" s="23" t="s">
        <v>59</v>
      </c>
      <c r="F4" s="23" t="s">
        <v>60</v>
      </c>
      <c r="G4" s="23" t="s">
        <v>61</v>
      </c>
      <c r="H4" s="23" t="s">
        <v>62</v>
      </c>
      <c r="I4" s="18"/>
      <c r="J4" s="19" t="str">
        <f aca="false">IF($I4="","",$C4*$I4)</f>
        <v/>
      </c>
      <c r="K4" s="23" t="s">
        <v>63</v>
      </c>
      <c r="L4" s="20"/>
    </row>
    <row r="5" customFormat="false" ht="111.75" hidden="false" customHeight="true" outlineLevel="0" collapsed="false">
      <c r="A5" s="14" t="s">
        <v>64</v>
      </c>
      <c r="B5" s="15" t="s">
        <v>65</v>
      </c>
      <c r="C5" s="16" t="n">
        <v>0.14</v>
      </c>
      <c r="D5" s="17" t="s">
        <v>66</v>
      </c>
      <c r="E5" s="17" t="s">
        <v>67</v>
      </c>
      <c r="F5" s="17" t="s">
        <v>68</v>
      </c>
      <c r="G5" s="17" t="s">
        <v>69</v>
      </c>
      <c r="H5" s="17" t="s">
        <v>70</v>
      </c>
      <c r="I5" s="18"/>
      <c r="J5" s="19" t="str">
        <f aca="false">IF($I5="","",$C5*$I5)</f>
        <v/>
      </c>
      <c r="K5" s="17" t="s">
        <v>71</v>
      </c>
      <c r="L5" s="20"/>
    </row>
    <row r="6" customFormat="false" ht="111.75" hidden="false" customHeight="true" outlineLevel="0" collapsed="false">
      <c r="A6" s="21" t="s">
        <v>72</v>
      </c>
      <c r="B6" s="22" t="s">
        <v>73</v>
      </c>
      <c r="C6" s="16" t="n">
        <v>0.12</v>
      </c>
      <c r="D6" s="23" t="s">
        <v>74</v>
      </c>
      <c r="E6" s="23" t="s">
        <v>75</v>
      </c>
      <c r="F6" s="23" t="s">
        <v>76</v>
      </c>
      <c r="G6" s="23" t="s">
        <v>77</v>
      </c>
      <c r="H6" s="23" t="s">
        <v>78</v>
      </c>
      <c r="I6" s="18"/>
      <c r="J6" s="19" t="str">
        <f aca="false">IF($I6="","",$C6*$I6)</f>
        <v/>
      </c>
      <c r="K6" s="23" t="s">
        <v>79</v>
      </c>
      <c r="L6" s="20"/>
    </row>
    <row r="7" customFormat="false" ht="111.75" hidden="false" customHeight="true" outlineLevel="0" collapsed="false">
      <c r="A7" s="14" t="s">
        <v>80</v>
      </c>
      <c r="B7" s="15" t="s">
        <v>81</v>
      </c>
      <c r="C7" s="16" t="n">
        <v>0.16</v>
      </c>
      <c r="D7" s="17" t="s">
        <v>82</v>
      </c>
      <c r="E7" s="17" t="s">
        <v>83</v>
      </c>
      <c r="F7" s="17" t="s">
        <v>84</v>
      </c>
      <c r="G7" s="17" t="s">
        <v>85</v>
      </c>
      <c r="H7" s="17" t="s">
        <v>86</v>
      </c>
      <c r="I7" s="18"/>
      <c r="J7" s="19" t="str">
        <f aca="false">IF($I7="","",$C7*$I7)</f>
        <v/>
      </c>
      <c r="K7" s="17" t="s">
        <v>87</v>
      </c>
      <c r="L7" s="20"/>
    </row>
    <row r="8" customFormat="false" ht="111.75" hidden="false" customHeight="true" outlineLevel="0" collapsed="false">
      <c r="A8" s="21" t="s">
        <v>88</v>
      </c>
      <c r="B8" s="22" t="s">
        <v>89</v>
      </c>
      <c r="C8" s="16" t="n">
        <v>0.12</v>
      </c>
      <c r="D8" s="23" t="s">
        <v>90</v>
      </c>
      <c r="E8" s="23" t="s">
        <v>91</v>
      </c>
      <c r="F8" s="23" t="s">
        <v>92</v>
      </c>
      <c r="G8" s="23" t="s">
        <v>93</v>
      </c>
      <c r="H8" s="23" t="s">
        <v>94</v>
      </c>
      <c r="I8" s="18"/>
      <c r="J8" s="19" t="str">
        <f aca="false">IF($I8="","",$C8*$I8)</f>
        <v/>
      </c>
      <c r="K8" s="23" t="s">
        <v>95</v>
      </c>
      <c r="L8" s="20"/>
    </row>
    <row r="9" customFormat="false" ht="111.75" hidden="false" customHeight="true" outlineLevel="0" collapsed="false">
      <c r="A9" s="14" t="s">
        <v>96</v>
      </c>
      <c r="B9" s="15" t="s">
        <v>97</v>
      </c>
      <c r="C9" s="16" t="n">
        <v>0.12</v>
      </c>
      <c r="D9" s="17" t="s">
        <v>98</v>
      </c>
      <c r="E9" s="17" t="s">
        <v>99</v>
      </c>
      <c r="F9" s="17" t="s">
        <v>100</v>
      </c>
      <c r="G9" s="17" t="s">
        <v>101</v>
      </c>
      <c r="H9" s="17" t="s">
        <v>102</v>
      </c>
      <c r="I9" s="18"/>
      <c r="J9" s="19" t="str">
        <f aca="false">IF($I9="","",$C9*$I9)</f>
        <v/>
      </c>
      <c r="K9" s="17" t="s">
        <v>103</v>
      </c>
      <c r="L9" s="20"/>
    </row>
    <row r="10" customFormat="false" ht="111.75" hidden="false" customHeight="true" outlineLevel="0" collapsed="false">
      <c r="A10" s="21" t="s">
        <v>104</v>
      </c>
      <c r="B10" s="22" t="s">
        <v>105</v>
      </c>
      <c r="C10" s="16" t="n">
        <v>0.1</v>
      </c>
      <c r="D10" s="23" t="s">
        <v>106</v>
      </c>
      <c r="E10" s="23" t="s">
        <v>107</v>
      </c>
      <c r="F10" s="23" t="s">
        <v>108</v>
      </c>
      <c r="G10" s="23" t="s">
        <v>109</v>
      </c>
      <c r="H10" s="23" t="s">
        <v>110</v>
      </c>
      <c r="I10" s="18"/>
      <c r="J10" s="19" t="str">
        <f aca="false">IF($I10="","",$C10*$I10)</f>
        <v/>
      </c>
      <c r="K10" s="23" t="s">
        <v>111</v>
      </c>
      <c r="L10" s="20"/>
    </row>
    <row r="11" customFormat="false" ht="24" hidden="false" customHeight="true" outlineLevel="0" collapsed="false">
      <c r="A11" s="24" t="s">
        <v>112</v>
      </c>
      <c r="B11" s="24"/>
      <c r="C11" s="25" t="n">
        <f aca="false">SUM(C3:C10)</f>
        <v>1</v>
      </c>
      <c r="D11" s="26"/>
      <c r="E11" s="26"/>
      <c r="F11" s="26"/>
      <c r="G11" s="26"/>
      <c r="H11" s="26"/>
      <c r="I11" s="24" t="s">
        <v>113</v>
      </c>
      <c r="J11" s="27" t="str">
        <f aca="false">IF(COUNT(I3:I10)=0,"",SUM(J3:J10))</f>
        <v/>
      </c>
      <c r="K11" s="28" t="str">
        <f aca="false">IF(J11="","",IF(J11&lt;1.5,"Inicial",IF(J11&lt;2.5,"Emergente",IF(J11&lt;3.5,"Definido",IF(J11&lt;4.5,"Gestionado","Optimizado")))))</f>
        <v/>
      </c>
      <c r="L11" s="26"/>
    </row>
    <row r="13" customFormat="false" ht="30" hidden="false" customHeight="true" outlineLevel="0" collapsed="false">
      <c r="A13" s="29" t="s">
        <v>114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</sheetData>
  <mergeCells count="3">
    <mergeCell ref="A1:L1"/>
    <mergeCell ref="A11:B11"/>
    <mergeCell ref="A13:L13"/>
  </mergeCells>
  <dataValidations count="1">
    <dataValidation allowBlank="true" error="Ingresa un número entero del 1 al 5." errorStyle="stop" errorTitle="Puntaje inválido" operator="between" showDropDown="false" showErrorMessage="true" showInputMessage="false" sqref="I3:I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2026-06-24T19:54:35Z</dcterms:created>
  <dc:creator>openpyxl</dc:creator>
  <dc:description/>
  <dc:language>en-US</dc:language>
  <cp:lastModifiedBy/>
  <dcterms:modified xsi:type="dcterms:W3CDTF">2026-06-24T19:54:35Z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